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2211982/github/RSVcorrelates/raw-data/"/>
    </mc:Choice>
  </mc:AlternateContent>
  <xr:revisionPtr revIDLastSave="0" documentId="13_ncr:1_{AADEBAAA-A78B-C848-BC0E-4AE584BAA12D}" xr6:coauthVersionLast="47" xr6:coauthVersionMax="47" xr10:uidLastSave="{00000000-0000-0000-0000-000000000000}"/>
  <bookViews>
    <workbookView xWindow="6700" yWindow="1340" windowWidth="39280" windowHeight="20860" xr2:uid="{E5577812-52DB-7549-9224-56C8E4FDF043}"/>
  </bookViews>
  <sheets>
    <sheet name="Sheet1" sheetId="1" r:id="rId1"/>
  </sheets>
  <definedNames>
    <definedName name="_xlnm._FilterDatabase" localSheetId="0" hidden="1">Sheet1!$A$1:$I$54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6" i="1" l="1"/>
  <c r="C97" i="1"/>
  <c r="C90" i="1"/>
  <c r="C85" i="1"/>
  <c r="C83" i="1"/>
  <c r="C107" i="1"/>
  <c r="C109" i="1"/>
  <c r="C110" i="1"/>
  <c r="C102" i="1"/>
  <c r="C105" i="1"/>
  <c r="C68" i="1"/>
  <c r="C70" i="1"/>
  <c r="C71" i="1"/>
  <c r="C72" i="1"/>
  <c r="C73" i="1"/>
  <c r="C74" i="1"/>
  <c r="C75" i="1"/>
  <c r="C65" i="1"/>
  <c r="C66" i="1"/>
  <c r="C67" i="1"/>
  <c r="C99" i="1"/>
  <c r="C100" i="1"/>
  <c r="C84" i="1"/>
  <c r="C87" i="1"/>
  <c r="C88" i="1"/>
  <c r="C89" i="1"/>
  <c r="C103" i="1"/>
  <c r="C76" i="1"/>
  <c r="C77" i="1"/>
  <c r="C78" i="1"/>
  <c r="C79" i="1"/>
  <c r="C80" i="1"/>
  <c r="C81" i="1"/>
  <c r="C82" i="1"/>
  <c r="C91" i="1"/>
  <c r="C92" i="1"/>
  <c r="C93" i="1"/>
  <c r="C94" i="1"/>
  <c r="C101" i="1"/>
  <c r="C106" i="1"/>
</calcChain>
</file>

<file path=xl/sharedStrings.xml><?xml version="1.0" encoding="utf-8"?>
<sst xmlns="http://schemas.openxmlformats.org/spreadsheetml/2006/main" count="403" uniqueCount="181">
  <si>
    <t>level_1_attribute</t>
  </si>
  <si>
    <t>level_2_attribute</t>
  </si>
  <si>
    <t>adults</t>
  </si>
  <si>
    <t>infants/children</t>
  </si>
  <si>
    <t>level_3_attribute</t>
  </si>
  <si>
    <t>tag_name</t>
  </si>
  <si>
    <t>immunogenicity</t>
  </si>
  <si>
    <t>efficacy</t>
  </si>
  <si>
    <t xml:space="preserve">product_type </t>
  </si>
  <si>
    <t>study_type</t>
  </si>
  <si>
    <t>older_adults</t>
  </si>
  <si>
    <t>maternal</t>
  </si>
  <si>
    <t>vaccine</t>
  </si>
  <si>
    <t>infants_children</t>
  </si>
  <si>
    <t>immunoprophylaxis</t>
  </si>
  <si>
    <t>mab</t>
  </si>
  <si>
    <t>general_adults</t>
  </si>
  <si>
    <t>mothers</t>
  </si>
  <si>
    <t>AstraZeneca</t>
  </si>
  <si>
    <t>AstraZeneca-Sanofi</t>
  </si>
  <si>
    <t>Bavarian Nordic</t>
  </si>
  <si>
    <t>Blue Lake Biotechnology Inc</t>
  </si>
  <si>
    <t>chimeric vaccine</t>
  </si>
  <si>
    <t>efficacy/effectiveness</t>
  </si>
  <si>
    <t>GSK</t>
  </si>
  <si>
    <t>immunogenicity and efficacy/effectiveness</t>
  </si>
  <si>
    <t>Intravacc</t>
  </si>
  <si>
    <t>Janssen Pharmaceuticals</t>
  </si>
  <si>
    <t>Lederle Praxis Biologicals</t>
  </si>
  <si>
    <t>MedImmune</t>
  </si>
  <si>
    <t>Merck</t>
  </si>
  <si>
    <t>Moderna</t>
  </si>
  <si>
    <t>monoclonal antibody</t>
  </si>
  <si>
    <t>NCT number</t>
  </si>
  <si>
    <t>NIAID</t>
  </si>
  <si>
    <t>NIAID/NIH</t>
  </si>
  <si>
    <t>NIAID/NIH/MedImmune</t>
  </si>
  <si>
    <t>NIH</t>
  </si>
  <si>
    <t>NIH/NIAID/VRC</t>
  </si>
  <si>
    <t>NIH/Wyeth Vaccines</t>
  </si>
  <si>
    <t>Novavax</t>
  </si>
  <si>
    <t>nucleic acid vaccine</t>
  </si>
  <si>
    <t>older adults</t>
  </si>
  <si>
    <t>Pfizer</t>
  </si>
  <si>
    <t>Pontificia Universidad Católica de Chile</t>
  </si>
  <si>
    <t>Praxis Biologics</t>
  </si>
  <si>
    <t>protein based particle/subunit vaccine</t>
  </si>
  <si>
    <t>recombinant vector vaccine</t>
  </si>
  <si>
    <t>Sanofi</t>
  </si>
  <si>
    <t>Sanofi/LID/NIAID/NIH</t>
  </si>
  <si>
    <t>Sanofi/NIAID/NIH</t>
  </si>
  <si>
    <t>Virometix</t>
  </si>
  <si>
    <t>Virtuvax</t>
  </si>
  <si>
    <t>Wyeth-Lederle Vaccine and Pediatrics</t>
  </si>
  <si>
    <t>immunogenicity_efficacy</t>
  </si>
  <si>
    <t>observational_study</t>
  </si>
  <si>
    <t>ongoing_study</t>
  </si>
  <si>
    <t>Observational</t>
  </si>
  <si>
    <t>Ongoing</t>
  </si>
  <si>
    <t>includes NCT number</t>
  </si>
  <si>
    <t>no NCT number</t>
  </si>
  <si>
    <t>main</t>
  </si>
  <si>
    <t>secondary</t>
  </si>
  <si>
    <t>Infants / Children</t>
  </si>
  <si>
    <t>Older Adults</t>
  </si>
  <si>
    <t>Maternal population</t>
  </si>
  <si>
    <t>General Adults</t>
  </si>
  <si>
    <t>Immunogenicity</t>
  </si>
  <si>
    <t>Efficacy</t>
  </si>
  <si>
    <t>popn</t>
  </si>
  <si>
    <t>Population</t>
  </si>
  <si>
    <t>Product Information</t>
  </si>
  <si>
    <t>Monoclonal Antibody</t>
  </si>
  <si>
    <t>Live Attenuated Vaccine</t>
  </si>
  <si>
    <t>Recombinant Vector Vaccine</t>
  </si>
  <si>
    <t>Chimeric Vaccine</t>
  </si>
  <si>
    <t>Formalin Inactivated Vaccine</t>
  </si>
  <si>
    <t>Nucleic Acid Vaccine</t>
  </si>
  <si>
    <t>Clinical Trial Number</t>
  </si>
  <si>
    <t>Manufacturer</t>
  </si>
  <si>
    <t>1_infants_immunogenicity</t>
  </si>
  <si>
    <t>1_infants_efficacy</t>
  </si>
  <si>
    <t>2_maternal_immunogenicity</t>
  </si>
  <si>
    <t>3_general_adults_immunogenicity</t>
  </si>
  <si>
    <t>3_general_adults_efficacy</t>
  </si>
  <si>
    <t>2_maternal_efficacy</t>
  </si>
  <si>
    <t>4_older_adults_immunogenicity</t>
  </si>
  <si>
    <t>4_older_adults_efficacy</t>
  </si>
  <si>
    <t>Combination Vaccine</t>
  </si>
  <si>
    <t>combination vaccine</t>
  </si>
  <si>
    <t>No NCT number</t>
  </si>
  <si>
    <t>under 1 year</t>
  </si>
  <si>
    <t>Infants Under 1 year</t>
  </si>
  <si>
    <t>Infants under 2 years</t>
  </si>
  <si>
    <t>Children under 5 years</t>
  </si>
  <si>
    <t>under 5 years</t>
  </si>
  <si>
    <t>under 2 years</t>
  </si>
  <si>
    <t>Viral Vector Vaccine</t>
  </si>
  <si>
    <t>viral vector</t>
  </si>
  <si>
    <t>protein subunit</t>
  </si>
  <si>
    <t>Protein Subunit Vaccine</t>
  </si>
  <si>
    <t>Protein based particle / Subunit vaccine</t>
  </si>
  <si>
    <t>live-attenuated</t>
  </si>
  <si>
    <t>Study Type</t>
  </si>
  <si>
    <t>virus-like particles</t>
  </si>
  <si>
    <t>mRNA</t>
  </si>
  <si>
    <t>mRNA Vaccine</t>
  </si>
  <si>
    <t>Virus-Like Particle Vaccine</t>
  </si>
  <si>
    <t>Janssen</t>
  </si>
  <si>
    <t>formalin inactivated</t>
  </si>
  <si>
    <t>chimeric vaccine:Intravacc</t>
  </si>
  <si>
    <t>chimeric vaccine:Merck</t>
  </si>
  <si>
    <t>chimeric vaccine:NA</t>
  </si>
  <si>
    <t>chimeric vaccine:NIAID</t>
  </si>
  <si>
    <t>chimeric vaccine:NIH/Wyeth Vaccines</t>
  </si>
  <si>
    <t>combination vaccine:Janssen</t>
  </si>
  <si>
    <t>formalin inactivated:NA</t>
  </si>
  <si>
    <t>formalin inactivated:Pfizer</t>
  </si>
  <si>
    <t>live-attenuated:MedImmune</t>
  </si>
  <si>
    <t>live-attenuated:NA</t>
  </si>
  <si>
    <t>live-attenuated:NIAID/NIH</t>
  </si>
  <si>
    <t>live-attenuated:NIAID/NIH/MedImmune</t>
  </si>
  <si>
    <t>live-attenuated:NIH/NIAID/VRC</t>
  </si>
  <si>
    <t>live-attenuated:Sanofi</t>
  </si>
  <si>
    <t>live-attenuated:Sanofi/LID/NIAID/NIH</t>
  </si>
  <si>
    <t>live-attenuated:Sanofi/NIAID/NIH</t>
  </si>
  <si>
    <t>monoclonal antibody:AstraZeneca-Sanofi</t>
  </si>
  <si>
    <t>monoclonal antibody:MedImmune</t>
  </si>
  <si>
    <t>monoclonal antibody:Merck</t>
  </si>
  <si>
    <t>mRNA:Moderna</t>
  </si>
  <si>
    <t>NA:NA</t>
  </si>
  <si>
    <t>nucleic acid vaccine:Merck</t>
  </si>
  <si>
    <t>protein based particle/subunit vaccine:GSK</t>
  </si>
  <si>
    <t>protein based particle/subunit vaccine:Lederle Praxis Biologicals</t>
  </si>
  <si>
    <t>protein based particle/subunit vaccine:MedImmune</t>
  </si>
  <si>
    <t>protein based particle/subunit vaccine:NA</t>
  </si>
  <si>
    <t>protein based particle/subunit vaccine:NIH/NIAID/VRC</t>
  </si>
  <si>
    <t>protein based particle/subunit vaccine:NIH/Wyeth Vaccines</t>
  </si>
  <si>
    <t>protein based particle/subunit vaccine:Praxis Biologics</t>
  </si>
  <si>
    <t>protein based particle/subunit vaccine:Sanofi</t>
  </si>
  <si>
    <t>protein based particle/subunit vaccine:Wyeth-Lederle Vaccine and Pediatrics</t>
  </si>
  <si>
    <t>protein subunit:GSK</t>
  </si>
  <si>
    <t>protein subunit:MedImmune</t>
  </si>
  <si>
    <t>protein subunit:Mucosis</t>
  </si>
  <si>
    <t>protein subunit:NIH</t>
  </si>
  <si>
    <t>protein subunit:Novavax</t>
  </si>
  <si>
    <t>protein subunit:Pfizer</t>
  </si>
  <si>
    <t>protein subunit:Sanofi</t>
  </si>
  <si>
    <t>recombinant vector vaccine:GSK</t>
  </si>
  <si>
    <t>recombinant vector vaccine:Janssen</t>
  </si>
  <si>
    <t>recombinant vector vaccine:NA</t>
  </si>
  <si>
    <t>viral vector:Bavarian Nordic</t>
  </si>
  <si>
    <t>viral vector:Blue Lake Biotechnology Inc</t>
  </si>
  <si>
    <t>viral vector:GSK</t>
  </si>
  <si>
    <t>viral vector:Janssen</t>
  </si>
  <si>
    <t>virus-like particles:Virometix</t>
  </si>
  <si>
    <t>Product Details</t>
  </si>
  <si>
    <t>Other</t>
  </si>
  <si>
    <t>viral vector:IDT Biologika</t>
  </si>
  <si>
    <t>IDT Biologika</t>
  </si>
  <si>
    <t>NCT number:NA</t>
  </si>
  <si>
    <t>NCT number:RCT</t>
  </si>
  <si>
    <t>No NCT number:NA</t>
  </si>
  <si>
    <t>No NCT number:Not RCT</t>
  </si>
  <si>
    <t>Trial Type</t>
  </si>
  <si>
    <t>RCT (with NCT number)</t>
  </si>
  <si>
    <t>Randomisation not reported (with NCT number)</t>
  </si>
  <si>
    <t>Non-RCT (no NCT number)</t>
  </si>
  <si>
    <t>Randomisation not reported (no NCT number)</t>
  </si>
  <si>
    <t>Other2</t>
  </si>
  <si>
    <t>NCT number:Possible RCT</t>
  </si>
  <si>
    <t>possible RCT (with NCT number)</t>
  </si>
  <si>
    <t>possible RCT (no NCT number)</t>
  </si>
  <si>
    <t>No NCT number:Possible RCT</t>
  </si>
  <si>
    <t>Approval Status</t>
  </si>
  <si>
    <t>Approved</t>
  </si>
  <si>
    <t>Not Approved</t>
  </si>
  <si>
    <t>Approval Unclassified</t>
  </si>
  <si>
    <t>approved</t>
  </si>
  <si>
    <t>not approved</t>
  </si>
  <si>
    <t>approval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</si>
</sst>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rgb="FF2D374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4C7C1-39D6-4543-AF62-37F03D7DCD25}">
  <dimension ref="A1:I120"/>
  <sheetViews>
    <sheetView tabSelected="1" topLeftCell="A81" workbookViewId="0">
      <selection activeCell="D119" sqref="D119"/>
    </sheetView>
  </sheetViews>
  <sheetFormatPr baseColWidth="10" defaultRowHeight="16" x14ac:dyDescent="0.2"/>
  <cols>
    <col min="1" max="1" width="18.33203125" bestFit="1" customWidth="1"/>
    <col min="2" max="2" width="24.6640625" bestFit="1" customWidth="1"/>
    <col min="3" max="3" width="16.5" customWidth="1"/>
    <col min="4" max="4" width="46.5" bestFit="1" customWidth="1"/>
    <col min="9" max="9" width="46.5" bestFit="1" customWidth="1"/>
  </cols>
  <sheetData>
    <row r="1" spans="1:9" x14ac:dyDescent="0.2">
      <c r="A1" t="s">
        <v>0</v>
      </c>
      <c r="B1" t="s">
        <v>1</v>
      </c>
      <c r="C1" t="s">
        <v>4</v>
      </c>
      <c r="D1" t="s">
        <v>5</v>
      </c>
    </row>
    <row r="2" spans="1:9" ht="18" x14ac:dyDescent="0.2">
      <c r="A2" t="s">
        <v>103</v>
      </c>
      <c r="B2" t="s">
        <v>6</v>
      </c>
      <c r="D2" t="s">
        <v>6</v>
      </c>
      <c r="I2" s="2"/>
    </row>
    <row r="3" spans="1:9" ht="18" x14ac:dyDescent="0.2">
      <c r="A3" t="s">
        <v>103</v>
      </c>
      <c r="B3" t="s">
        <v>54</v>
      </c>
      <c r="D3" s="2" t="s">
        <v>25</v>
      </c>
      <c r="I3" s="2"/>
    </row>
    <row r="4" spans="1:9" ht="18" x14ac:dyDescent="0.2">
      <c r="A4" t="s">
        <v>103</v>
      </c>
      <c r="B4" t="s">
        <v>7</v>
      </c>
      <c r="D4" s="2" t="s">
        <v>23</v>
      </c>
      <c r="I4" s="2"/>
    </row>
    <row r="5" spans="1:9" ht="18" x14ac:dyDescent="0.2">
      <c r="A5" t="s">
        <v>9</v>
      </c>
      <c r="B5" t="s">
        <v>55</v>
      </c>
      <c r="D5" s="2" t="s">
        <v>57</v>
      </c>
      <c r="I5" s="2"/>
    </row>
    <row r="6" spans="1:9" ht="18" x14ac:dyDescent="0.2">
      <c r="A6" t="s">
        <v>9</v>
      </c>
      <c r="B6" t="s">
        <v>56</v>
      </c>
      <c r="D6" s="2" t="s">
        <v>58</v>
      </c>
      <c r="I6" s="2"/>
    </row>
    <row r="7" spans="1:9" ht="18" x14ac:dyDescent="0.2">
      <c r="A7" s="1" t="s">
        <v>69</v>
      </c>
      <c r="B7" t="s">
        <v>16</v>
      </c>
      <c r="D7" t="s">
        <v>2</v>
      </c>
      <c r="I7" s="2"/>
    </row>
    <row r="8" spans="1:9" ht="18" x14ac:dyDescent="0.2">
      <c r="A8" s="1" t="s">
        <v>69</v>
      </c>
      <c r="B8" t="s">
        <v>92</v>
      </c>
      <c r="D8" s="2" t="s">
        <v>91</v>
      </c>
      <c r="I8" s="2"/>
    </row>
    <row r="9" spans="1:9" ht="18" x14ac:dyDescent="0.2">
      <c r="A9" s="1" t="s">
        <v>69</v>
      </c>
      <c r="B9" t="s">
        <v>93</v>
      </c>
      <c r="D9" s="2" t="s">
        <v>96</v>
      </c>
      <c r="I9" s="2"/>
    </row>
    <row r="10" spans="1:9" ht="18" x14ac:dyDescent="0.2">
      <c r="A10" s="1" t="s">
        <v>69</v>
      </c>
      <c r="B10" t="s">
        <v>94</v>
      </c>
      <c r="D10" s="2" t="s">
        <v>95</v>
      </c>
      <c r="I10" s="2"/>
    </row>
    <row r="11" spans="1:9" ht="18" x14ac:dyDescent="0.2">
      <c r="A11" s="1" t="s">
        <v>69</v>
      </c>
      <c r="B11" t="s">
        <v>10</v>
      </c>
      <c r="D11" s="2" t="s">
        <v>42</v>
      </c>
      <c r="I11" s="2"/>
    </row>
    <row r="12" spans="1:9" ht="18" x14ac:dyDescent="0.2">
      <c r="A12" s="1" t="s">
        <v>69</v>
      </c>
      <c r="B12" t="s">
        <v>17</v>
      </c>
      <c r="D12" t="s">
        <v>11</v>
      </c>
      <c r="I12" s="2"/>
    </row>
    <row r="13" spans="1:9" ht="18" x14ac:dyDescent="0.2">
      <c r="A13" s="1" t="s">
        <v>69</v>
      </c>
      <c r="B13" t="s">
        <v>13</v>
      </c>
      <c r="D13" t="s">
        <v>3</v>
      </c>
      <c r="I13" s="2"/>
    </row>
    <row r="14" spans="1:9" ht="18" x14ac:dyDescent="0.2">
      <c r="A14" s="1" t="s">
        <v>8</v>
      </c>
      <c r="B14" t="s">
        <v>12</v>
      </c>
      <c r="D14" t="s">
        <v>12</v>
      </c>
      <c r="I14" s="2"/>
    </row>
    <row r="15" spans="1:9" ht="18" x14ac:dyDescent="0.2">
      <c r="A15" s="1" t="s">
        <v>8</v>
      </c>
      <c r="B15" t="s">
        <v>15</v>
      </c>
      <c r="D15" t="s">
        <v>14</v>
      </c>
      <c r="I15" s="2"/>
    </row>
    <row r="16" spans="1:9" ht="18" x14ac:dyDescent="0.2">
      <c r="A16" s="1" t="s">
        <v>71</v>
      </c>
      <c r="B16" t="s">
        <v>72</v>
      </c>
      <c r="D16" s="2" t="s">
        <v>32</v>
      </c>
      <c r="I16" s="2"/>
    </row>
    <row r="17" spans="1:9" ht="18" x14ac:dyDescent="0.2">
      <c r="A17" s="1" t="s">
        <v>71</v>
      </c>
      <c r="B17" t="s">
        <v>73</v>
      </c>
      <c r="D17" s="2" t="s">
        <v>102</v>
      </c>
      <c r="I17" s="2"/>
    </row>
    <row r="18" spans="1:9" ht="18" x14ac:dyDescent="0.2">
      <c r="A18" s="1" t="s">
        <v>71</v>
      </c>
      <c r="B18" t="s">
        <v>100</v>
      </c>
      <c r="D18" s="2" t="s">
        <v>99</v>
      </c>
      <c r="I18" s="2"/>
    </row>
    <row r="19" spans="1:9" ht="19" customHeight="1" x14ac:dyDescent="0.2">
      <c r="A19" s="1" t="s">
        <v>71</v>
      </c>
      <c r="B19" t="s">
        <v>97</v>
      </c>
      <c r="D19" s="2" t="s">
        <v>98</v>
      </c>
      <c r="I19" s="2"/>
    </row>
    <row r="20" spans="1:9" ht="19" customHeight="1" x14ac:dyDescent="0.2">
      <c r="A20" s="1" t="s">
        <v>71</v>
      </c>
      <c r="B20" t="s">
        <v>106</v>
      </c>
      <c r="D20" s="2" t="s">
        <v>105</v>
      </c>
      <c r="I20" s="2"/>
    </row>
    <row r="21" spans="1:9" ht="19" customHeight="1" x14ac:dyDescent="0.2">
      <c r="A21" s="1" t="s">
        <v>71</v>
      </c>
      <c r="B21" t="s">
        <v>107</v>
      </c>
      <c r="D21" s="2" t="s">
        <v>104</v>
      </c>
      <c r="I21" s="2"/>
    </row>
    <row r="22" spans="1:9" ht="18" x14ac:dyDescent="0.2">
      <c r="A22" s="1" t="s">
        <v>71</v>
      </c>
      <c r="B22" t="s">
        <v>88</v>
      </c>
      <c r="D22" s="2" t="s">
        <v>89</v>
      </c>
      <c r="I22" s="2"/>
    </row>
    <row r="23" spans="1:9" ht="18" x14ac:dyDescent="0.2">
      <c r="A23" s="1" t="s">
        <v>71</v>
      </c>
      <c r="B23" s="2" t="s">
        <v>101</v>
      </c>
      <c r="D23" s="2" t="s">
        <v>46</v>
      </c>
      <c r="I23" s="2"/>
    </row>
    <row r="24" spans="1:9" ht="18" x14ac:dyDescent="0.2">
      <c r="A24" s="1" t="s">
        <v>71</v>
      </c>
      <c r="B24" t="s">
        <v>74</v>
      </c>
      <c r="D24" s="2" t="s">
        <v>47</v>
      </c>
      <c r="I24" s="2"/>
    </row>
    <row r="25" spans="1:9" ht="18" x14ac:dyDescent="0.2">
      <c r="A25" s="1" t="s">
        <v>71</v>
      </c>
      <c r="B25" t="s">
        <v>75</v>
      </c>
      <c r="D25" s="2" t="s">
        <v>22</v>
      </c>
      <c r="I25" s="2"/>
    </row>
    <row r="26" spans="1:9" ht="19" customHeight="1" x14ac:dyDescent="0.2">
      <c r="A26" s="1" t="s">
        <v>71</v>
      </c>
      <c r="B26" t="s">
        <v>76</v>
      </c>
      <c r="D26" s="2" t="s">
        <v>109</v>
      </c>
      <c r="I26" s="2"/>
    </row>
    <row r="27" spans="1:9" ht="18" x14ac:dyDescent="0.2">
      <c r="A27" s="1" t="s">
        <v>71</v>
      </c>
      <c r="B27" t="s">
        <v>77</v>
      </c>
      <c r="D27" s="2" t="s">
        <v>41</v>
      </c>
      <c r="I27" s="2"/>
    </row>
    <row r="28" spans="1:9" ht="18" x14ac:dyDescent="0.2">
      <c r="A28" s="1" t="s">
        <v>79</v>
      </c>
      <c r="B28" t="s">
        <v>61</v>
      </c>
      <c r="C28" s="2" t="s">
        <v>43</v>
      </c>
      <c r="D28" s="2" t="s">
        <v>43</v>
      </c>
      <c r="I28" s="2"/>
    </row>
    <row r="29" spans="1:9" ht="18" x14ac:dyDescent="0.2">
      <c r="A29" s="1" t="s">
        <v>79</v>
      </c>
      <c r="B29" t="s">
        <v>61</v>
      </c>
      <c r="C29" s="2" t="s">
        <v>40</v>
      </c>
      <c r="D29" s="2" t="s">
        <v>40</v>
      </c>
      <c r="E29" s="2"/>
      <c r="I29" s="2"/>
    </row>
    <row r="30" spans="1:9" ht="18" x14ac:dyDescent="0.2">
      <c r="A30" s="1" t="s">
        <v>79</v>
      </c>
      <c r="B30" t="s">
        <v>61</v>
      </c>
      <c r="C30" s="2" t="s">
        <v>24</v>
      </c>
      <c r="D30" s="2" t="s">
        <v>24</v>
      </c>
      <c r="E30" s="2"/>
      <c r="I30" s="2"/>
    </row>
    <row r="31" spans="1:9" ht="18" x14ac:dyDescent="0.2">
      <c r="A31" s="1" t="s">
        <v>79</v>
      </c>
      <c r="B31" t="s">
        <v>61</v>
      </c>
      <c r="C31" s="2" t="s">
        <v>19</v>
      </c>
      <c r="D31" s="2" t="s">
        <v>19</v>
      </c>
      <c r="E31" s="2"/>
      <c r="I31" s="2"/>
    </row>
    <row r="32" spans="1:9" ht="18" x14ac:dyDescent="0.2">
      <c r="A32" s="1" t="s">
        <v>79</v>
      </c>
      <c r="B32" t="s">
        <v>61</v>
      </c>
      <c r="C32" s="2" t="s">
        <v>31</v>
      </c>
      <c r="D32" s="2" t="s">
        <v>31</v>
      </c>
      <c r="E32" s="2"/>
      <c r="I32" s="2"/>
    </row>
    <row r="33" spans="1:9" ht="18" x14ac:dyDescent="0.2">
      <c r="A33" s="1" t="s">
        <v>79</v>
      </c>
      <c r="B33" t="s">
        <v>61</v>
      </c>
      <c r="C33" s="2" t="s">
        <v>27</v>
      </c>
      <c r="D33" s="2" t="s">
        <v>108</v>
      </c>
      <c r="E33" s="2"/>
      <c r="I33" s="2"/>
    </row>
    <row r="34" spans="1:9" ht="18" x14ac:dyDescent="0.2">
      <c r="A34" s="1" t="s">
        <v>79</v>
      </c>
      <c r="B34" t="s">
        <v>61</v>
      </c>
      <c r="C34" s="2" t="s">
        <v>20</v>
      </c>
      <c r="D34" s="2" t="s">
        <v>20</v>
      </c>
      <c r="E34" s="2"/>
      <c r="I34" s="2"/>
    </row>
    <row r="35" spans="1:9" ht="18" x14ac:dyDescent="0.2">
      <c r="A35" s="1" t="s">
        <v>79</v>
      </c>
      <c r="B35" t="s">
        <v>61</v>
      </c>
      <c r="C35" s="2" t="s">
        <v>29</v>
      </c>
      <c r="D35" s="2" t="s">
        <v>29</v>
      </c>
      <c r="E35" s="2"/>
      <c r="I35" s="2"/>
    </row>
    <row r="36" spans="1:9" ht="18" x14ac:dyDescent="0.2">
      <c r="A36" s="1" t="s">
        <v>79</v>
      </c>
      <c r="B36" t="s">
        <v>61</v>
      </c>
      <c r="C36" s="2" t="s">
        <v>48</v>
      </c>
      <c r="D36" s="2" t="s">
        <v>48</v>
      </c>
      <c r="E36" s="2"/>
      <c r="I36" s="2"/>
    </row>
    <row r="37" spans="1:9" ht="18" x14ac:dyDescent="0.2">
      <c r="A37" s="1" t="s">
        <v>79</v>
      </c>
      <c r="B37" t="s">
        <v>61</v>
      </c>
      <c r="C37" s="2" t="s">
        <v>18</v>
      </c>
      <c r="D37" s="2" t="s">
        <v>18</v>
      </c>
      <c r="E37" s="2"/>
      <c r="I37" s="2"/>
    </row>
    <row r="38" spans="1:9" ht="18" x14ac:dyDescent="0.2">
      <c r="A38" s="1" t="s">
        <v>79</v>
      </c>
      <c r="B38" t="s">
        <v>61</v>
      </c>
      <c r="C38" s="2" t="s">
        <v>30</v>
      </c>
      <c r="D38" s="2" t="s">
        <v>30</v>
      </c>
      <c r="E38" s="2"/>
      <c r="I38" s="2"/>
    </row>
    <row r="39" spans="1:9" ht="18" x14ac:dyDescent="0.2">
      <c r="A39" s="1" t="s">
        <v>79</v>
      </c>
      <c r="B39" t="s">
        <v>62</v>
      </c>
      <c r="C39" s="2" t="s">
        <v>49</v>
      </c>
      <c r="D39" s="2" t="s">
        <v>49</v>
      </c>
      <c r="E39" s="2"/>
      <c r="I39" s="2"/>
    </row>
    <row r="40" spans="1:9" ht="18" x14ac:dyDescent="0.2">
      <c r="A40" s="1" t="s">
        <v>79</v>
      </c>
      <c r="B40" t="s">
        <v>62</v>
      </c>
      <c r="C40" s="2" t="s">
        <v>50</v>
      </c>
      <c r="D40" s="2" t="s">
        <v>50</v>
      </c>
      <c r="E40" s="2"/>
      <c r="I40" s="2"/>
    </row>
    <row r="41" spans="1:9" ht="18" x14ac:dyDescent="0.2">
      <c r="A41" s="1" t="s">
        <v>79</v>
      </c>
      <c r="B41" t="s">
        <v>62</v>
      </c>
      <c r="C41" s="2" t="s">
        <v>37</v>
      </c>
      <c r="D41" s="2" t="s">
        <v>37</v>
      </c>
      <c r="E41" s="2"/>
      <c r="I41" s="2"/>
    </row>
    <row r="42" spans="1:9" ht="18" x14ac:dyDescent="0.2">
      <c r="A42" s="1" t="s">
        <v>79</v>
      </c>
      <c r="B42" t="s">
        <v>62</v>
      </c>
      <c r="C42" s="2" t="s">
        <v>36</v>
      </c>
      <c r="D42" s="2" t="s">
        <v>36</v>
      </c>
      <c r="E42" s="2"/>
      <c r="I42" s="2"/>
    </row>
    <row r="43" spans="1:9" ht="18" x14ac:dyDescent="0.2">
      <c r="A43" s="1" t="s">
        <v>79</v>
      </c>
      <c r="B43" t="s">
        <v>62</v>
      </c>
      <c r="C43" s="2" t="s">
        <v>38</v>
      </c>
      <c r="D43" s="2" t="s">
        <v>38</v>
      </c>
      <c r="E43" s="2"/>
      <c r="I43" s="2"/>
    </row>
    <row r="44" spans="1:9" ht="18" x14ac:dyDescent="0.2">
      <c r="A44" s="1" t="s">
        <v>79</v>
      </c>
      <c r="B44" t="s">
        <v>62</v>
      </c>
      <c r="C44" s="2" t="s">
        <v>35</v>
      </c>
      <c r="D44" s="2" t="s">
        <v>35</v>
      </c>
      <c r="E44" s="2"/>
      <c r="I44" s="2"/>
    </row>
    <row r="45" spans="1:9" ht="18" x14ac:dyDescent="0.2">
      <c r="A45" s="1" t="s">
        <v>79</v>
      </c>
      <c r="B45" t="s">
        <v>62</v>
      </c>
      <c r="C45" s="2" t="s">
        <v>34</v>
      </c>
      <c r="D45" s="2" t="s">
        <v>34</v>
      </c>
      <c r="E45" s="2"/>
      <c r="I45" s="2"/>
    </row>
    <row r="46" spans="1:9" ht="18" x14ac:dyDescent="0.2">
      <c r="A46" s="1" t="s">
        <v>79</v>
      </c>
      <c r="B46" t="s">
        <v>62</v>
      </c>
      <c r="C46" s="2" t="s">
        <v>44</v>
      </c>
      <c r="D46" s="2" t="s">
        <v>44</v>
      </c>
      <c r="E46" s="2"/>
      <c r="I46" s="2"/>
    </row>
    <row r="47" spans="1:9" ht="18" x14ac:dyDescent="0.2">
      <c r="A47" s="1" t="s">
        <v>79</v>
      </c>
      <c r="B47" t="s">
        <v>62</v>
      </c>
      <c r="C47" s="2" t="s">
        <v>52</v>
      </c>
      <c r="D47" s="2" t="s">
        <v>52</v>
      </c>
      <c r="E47" s="2"/>
      <c r="I47" s="2"/>
    </row>
    <row r="48" spans="1:9" ht="18" x14ac:dyDescent="0.2">
      <c r="A48" s="1" t="s">
        <v>79</v>
      </c>
      <c r="B48" t="s">
        <v>62</v>
      </c>
      <c r="C48" s="2" t="s">
        <v>51</v>
      </c>
      <c r="D48" s="2" t="s">
        <v>51</v>
      </c>
      <c r="E48" s="2"/>
      <c r="I48" s="2"/>
    </row>
    <row r="49" spans="1:9" ht="18" x14ac:dyDescent="0.2">
      <c r="A49" s="1" t="s">
        <v>79</v>
      </c>
      <c r="B49" t="s">
        <v>62</v>
      </c>
      <c r="C49" s="2" t="s">
        <v>21</v>
      </c>
      <c r="D49" s="2" t="s">
        <v>21</v>
      </c>
      <c r="E49" s="2"/>
      <c r="I49" s="2"/>
    </row>
    <row r="50" spans="1:9" ht="18" x14ac:dyDescent="0.2">
      <c r="A50" s="1" t="s">
        <v>79</v>
      </c>
      <c r="B50" t="s">
        <v>62</v>
      </c>
      <c r="C50" s="2" t="s">
        <v>26</v>
      </c>
      <c r="D50" s="2" t="s">
        <v>26</v>
      </c>
      <c r="E50" s="2"/>
      <c r="I50" s="2"/>
    </row>
    <row r="51" spans="1:9" ht="18" x14ac:dyDescent="0.2">
      <c r="A51" s="1" t="s">
        <v>79</v>
      </c>
      <c r="B51" t="s">
        <v>62</v>
      </c>
      <c r="C51" s="2" t="s">
        <v>28</v>
      </c>
      <c r="D51" s="2" t="s">
        <v>28</v>
      </c>
      <c r="E51" s="2"/>
      <c r="I51" s="2"/>
    </row>
    <row r="52" spans="1:9" ht="18" x14ac:dyDescent="0.2">
      <c r="A52" s="1" t="s">
        <v>79</v>
      </c>
      <c r="B52" t="s">
        <v>62</v>
      </c>
      <c r="C52" s="2" t="s">
        <v>39</v>
      </c>
      <c r="D52" s="2" t="s">
        <v>39</v>
      </c>
      <c r="E52" s="2"/>
      <c r="I52" s="2"/>
    </row>
    <row r="53" spans="1:9" ht="18" x14ac:dyDescent="0.2">
      <c r="A53" s="1" t="s">
        <v>79</v>
      </c>
      <c r="B53" t="s">
        <v>62</v>
      </c>
      <c r="C53" s="2" t="s">
        <v>45</v>
      </c>
      <c r="D53" s="2" t="s">
        <v>45</v>
      </c>
      <c r="E53" s="2"/>
      <c r="I53" s="2"/>
    </row>
    <row r="54" spans="1:9" ht="18" x14ac:dyDescent="0.2">
      <c r="A54" s="1" t="s">
        <v>79</v>
      </c>
      <c r="B54" t="s">
        <v>62</v>
      </c>
      <c r="C54" s="2" t="s">
        <v>53</v>
      </c>
      <c r="D54" s="2" t="s">
        <v>53</v>
      </c>
      <c r="E54" s="2"/>
      <c r="I54" s="2"/>
    </row>
    <row r="55" spans="1:9" ht="18" x14ac:dyDescent="0.2">
      <c r="A55" s="1" t="s">
        <v>78</v>
      </c>
      <c r="B55" s="2" t="s">
        <v>59</v>
      </c>
      <c r="C55" s="2"/>
      <c r="D55" s="2" t="s">
        <v>33</v>
      </c>
      <c r="E55" s="2"/>
      <c r="I55" s="2"/>
    </row>
    <row r="56" spans="1:9" ht="18" x14ac:dyDescent="0.2">
      <c r="A56" s="1" t="s">
        <v>78</v>
      </c>
      <c r="B56" s="2" t="s">
        <v>60</v>
      </c>
      <c r="C56" s="2"/>
      <c r="D56" s="2" t="s">
        <v>90</v>
      </c>
      <c r="I56" s="2"/>
    </row>
    <row r="57" spans="1:9" x14ac:dyDescent="0.2">
      <c r="A57" s="1" t="s">
        <v>70</v>
      </c>
      <c r="B57" t="s">
        <v>63</v>
      </c>
      <c r="C57" t="s">
        <v>67</v>
      </c>
      <c r="D57" t="s">
        <v>80</v>
      </c>
    </row>
    <row r="58" spans="1:9" x14ac:dyDescent="0.2">
      <c r="A58" s="1" t="s">
        <v>70</v>
      </c>
      <c r="B58" t="s">
        <v>63</v>
      </c>
      <c r="C58" t="s">
        <v>68</v>
      </c>
      <c r="D58" t="s">
        <v>81</v>
      </c>
    </row>
    <row r="59" spans="1:9" x14ac:dyDescent="0.2">
      <c r="A59" s="1" t="s">
        <v>70</v>
      </c>
      <c r="B59" t="s">
        <v>65</v>
      </c>
      <c r="C59" t="s">
        <v>67</v>
      </c>
      <c r="D59" t="s">
        <v>82</v>
      </c>
    </row>
    <row r="60" spans="1:9" x14ac:dyDescent="0.2">
      <c r="A60" s="1" t="s">
        <v>70</v>
      </c>
      <c r="B60" t="s">
        <v>65</v>
      </c>
      <c r="C60" t="s">
        <v>68</v>
      </c>
      <c r="D60" t="s">
        <v>85</v>
      </c>
    </row>
    <row r="61" spans="1:9" x14ac:dyDescent="0.2">
      <c r="A61" s="1" t="s">
        <v>70</v>
      </c>
      <c r="B61" t="s">
        <v>66</v>
      </c>
      <c r="C61" t="s">
        <v>67</v>
      </c>
      <c r="D61" t="s">
        <v>83</v>
      </c>
    </row>
    <row r="62" spans="1:9" x14ac:dyDescent="0.2">
      <c r="A62" s="1" t="s">
        <v>70</v>
      </c>
      <c r="B62" t="s">
        <v>66</v>
      </c>
      <c r="C62" t="s">
        <v>68</v>
      </c>
      <c r="D62" t="s">
        <v>84</v>
      </c>
    </row>
    <row r="63" spans="1:9" x14ac:dyDescent="0.2">
      <c r="A63" s="1" t="s">
        <v>70</v>
      </c>
      <c r="B63" t="s">
        <v>64</v>
      </c>
      <c r="C63" t="s">
        <v>67</v>
      </c>
      <c r="D63" t="s">
        <v>86</v>
      </c>
    </row>
    <row r="64" spans="1:9" x14ac:dyDescent="0.2">
      <c r="A64" s="1" t="s">
        <v>70</v>
      </c>
      <c r="B64" t="s">
        <v>64</v>
      </c>
      <c r="C64" t="s">
        <v>68</v>
      </c>
      <c r="D64" t="s">
        <v>87</v>
      </c>
    </row>
    <row r="65" spans="1:4" x14ac:dyDescent="0.2">
      <c r="A65" s="1" t="s">
        <v>156</v>
      </c>
      <c r="B65" t="s">
        <v>72</v>
      </c>
      <c r="C65" t="str">
        <f>MID(D65,FIND(":",D65)+1,1000)</f>
        <v>AstraZeneca-Sanofi</v>
      </c>
      <c r="D65" s="3" t="s">
        <v>126</v>
      </c>
    </row>
    <row r="66" spans="1:4" x14ac:dyDescent="0.2">
      <c r="A66" s="1" t="s">
        <v>156</v>
      </c>
      <c r="B66" t="s">
        <v>72</v>
      </c>
      <c r="C66" t="str">
        <f>MID(D66,FIND(":",D66)+1,1000)</f>
        <v>MedImmune</v>
      </c>
      <c r="D66" s="3" t="s">
        <v>127</v>
      </c>
    </row>
    <row r="67" spans="1:4" x14ac:dyDescent="0.2">
      <c r="A67" s="1" t="s">
        <v>156</v>
      </c>
      <c r="B67" t="s">
        <v>72</v>
      </c>
      <c r="C67" t="str">
        <f>MID(D67,FIND(":",D67)+1,1000)</f>
        <v>Merck</v>
      </c>
      <c r="D67" s="3" t="s">
        <v>128</v>
      </c>
    </row>
    <row r="68" spans="1:4" x14ac:dyDescent="0.2">
      <c r="A68" s="1" t="s">
        <v>156</v>
      </c>
      <c r="B68" t="s">
        <v>73</v>
      </c>
      <c r="C68" t="str">
        <f t="shared" ref="C68:C99" si="0">MID(D68,FIND(":",D68)+1,1000)</f>
        <v>MedImmune</v>
      </c>
      <c r="D68" s="3" t="s">
        <v>118</v>
      </c>
    </row>
    <row r="69" spans="1:4" x14ac:dyDescent="0.2">
      <c r="A69" s="1" t="s">
        <v>156</v>
      </c>
      <c r="B69" t="s">
        <v>73</v>
      </c>
      <c r="C69" t="s">
        <v>157</v>
      </c>
      <c r="D69" s="3" t="s">
        <v>119</v>
      </c>
    </row>
    <row r="70" spans="1:4" x14ac:dyDescent="0.2">
      <c r="A70" s="1" t="s">
        <v>156</v>
      </c>
      <c r="B70" t="s">
        <v>73</v>
      </c>
      <c r="C70" t="str">
        <f t="shared" si="0"/>
        <v>NIAID/NIH</v>
      </c>
      <c r="D70" s="3" t="s">
        <v>120</v>
      </c>
    </row>
    <row r="71" spans="1:4" x14ac:dyDescent="0.2">
      <c r="A71" s="1" t="s">
        <v>156</v>
      </c>
      <c r="B71" t="s">
        <v>73</v>
      </c>
      <c r="C71" t="str">
        <f t="shared" si="0"/>
        <v>NIAID/NIH/MedImmune</v>
      </c>
      <c r="D71" s="3" t="s">
        <v>121</v>
      </c>
    </row>
    <row r="72" spans="1:4" x14ac:dyDescent="0.2">
      <c r="A72" s="1" t="s">
        <v>156</v>
      </c>
      <c r="B72" t="s">
        <v>73</v>
      </c>
      <c r="C72" t="str">
        <f t="shared" si="0"/>
        <v>NIH/NIAID/VRC</v>
      </c>
      <c r="D72" s="3" t="s">
        <v>122</v>
      </c>
    </row>
    <row r="73" spans="1:4" x14ac:dyDescent="0.2">
      <c r="A73" s="1" t="s">
        <v>156</v>
      </c>
      <c r="B73" t="s">
        <v>73</v>
      </c>
      <c r="C73" t="str">
        <f t="shared" si="0"/>
        <v>Sanofi</v>
      </c>
      <c r="D73" s="3" t="s">
        <v>123</v>
      </c>
    </row>
    <row r="74" spans="1:4" x14ac:dyDescent="0.2">
      <c r="A74" s="1" t="s">
        <v>156</v>
      </c>
      <c r="B74" t="s">
        <v>73</v>
      </c>
      <c r="C74" t="str">
        <f t="shared" si="0"/>
        <v>Sanofi/LID/NIAID/NIH</v>
      </c>
      <c r="D74" s="3" t="s">
        <v>124</v>
      </c>
    </row>
    <row r="75" spans="1:4" x14ac:dyDescent="0.2">
      <c r="A75" s="1" t="s">
        <v>156</v>
      </c>
      <c r="B75" t="s">
        <v>73</v>
      </c>
      <c r="C75" t="str">
        <f t="shared" si="0"/>
        <v>Sanofi/NIAID/NIH</v>
      </c>
      <c r="D75" s="3" t="s">
        <v>125</v>
      </c>
    </row>
    <row r="76" spans="1:4" x14ac:dyDescent="0.2">
      <c r="A76" s="1" t="s">
        <v>156</v>
      </c>
      <c r="B76" t="s">
        <v>100</v>
      </c>
      <c r="C76" t="str">
        <f t="shared" ref="C76:C94" si="1">MID(D76,FIND(":",D76)+1,1000)</f>
        <v>GSK</v>
      </c>
      <c r="D76" s="3" t="s">
        <v>141</v>
      </c>
    </row>
    <row r="77" spans="1:4" x14ac:dyDescent="0.2">
      <c r="A77" s="1" t="s">
        <v>156</v>
      </c>
      <c r="B77" t="s">
        <v>100</v>
      </c>
      <c r="C77" t="str">
        <f t="shared" si="1"/>
        <v>MedImmune</v>
      </c>
      <c r="D77" s="3" t="s">
        <v>142</v>
      </c>
    </row>
    <row r="78" spans="1:4" x14ac:dyDescent="0.2">
      <c r="A78" s="1" t="s">
        <v>156</v>
      </c>
      <c r="B78" t="s">
        <v>100</v>
      </c>
      <c r="C78" t="str">
        <f t="shared" si="1"/>
        <v>Mucosis</v>
      </c>
      <c r="D78" s="3" t="s">
        <v>143</v>
      </c>
    </row>
    <row r="79" spans="1:4" x14ac:dyDescent="0.2">
      <c r="A79" s="1" t="s">
        <v>156</v>
      </c>
      <c r="B79" t="s">
        <v>100</v>
      </c>
      <c r="C79" t="str">
        <f t="shared" si="1"/>
        <v>NIH</v>
      </c>
      <c r="D79" s="3" t="s">
        <v>144</v>
      </c>
    </row>
    <row r="80" spans="1:4" x14ac:dyDescent="0.2">
      <c r="A80" s="1" t="s">
        <v>156</v>
      </c>
      <c r="B80" t="s">
        <v>100</v>
      </c>
      <c r="C80" t="str">
        <f t="shared" si="1"/>
        <v>Novavax</v>
      </c>
      <c r="D80" s="3" t="s">
        <v>145</v>
      </c>
    </row>
    <row r="81" spans="1:4" x14ac:dyDescent="0.2">
      <c r="A81" s="1" t="s">
        <v>156</v>
      </c>
      <c r="B81" t="s">
        <v>100</v>
      </c>
      <c r="C81" t="str">
        <f t="shared" si="1"/>
        <v>Pfizer</v>
      </c>
      <c r="D81" s="3" t="s">
        <v>146</v>
      </c>
    </row>
    <row r="82" spans="1:4" ht="17" customHeight="1" x14ac:dyDescent="0.2">
      <c r="A82" s="1" t="s">
        <v>156</v>
      </c>
      <c r="B82" t="s">
        <v>100</v>
      </c>
      <c r="C82" t="str">
        <f t="shared" si="1"/>
        <v>Sanofi</v>
      </c>
      <c r="D82" s="3" t="s">
        <v>147</v>
      </c>
    </row>
    <row r="83" spans="1:4" x14ac:dyDescent="0.2">
      <c r="A83" s="1" t="s">
        <v>156</v>
      </c>
      <c r="B83" t="s">
        <v>100</v>
      </c>
      <c r="C83" t="str">
        <f>MID(D83,FIND(":",D83)+1,1000)&amp;"2"</f>
        <v>GSK2</v>
      </c>
      <c r="D83" s="3" t="s">
        <v>132</v>
      </c>
    </row>
    <row r="84" spans="1:4" x14ac:dyDescent="0.2">
      <c r="A84" s="1" t="s">
        <v>156</v>
      </c>
      <c r="B84" t="s">
        <v>100</v>
      </c>
      <c r="C84" t="str">
        <f>MID(D84,FIND(":",D84)+1,1000)</f>
        <v>Lederle Praxis Biologicals</v>
      </c>
      <c r="D84" s="3" t="s">
        <v>133</v>
      </c>
    </row>
    <row r="85" spans="1:4" x14ac:dyDescent="0.2">
      <c r="A85" s="1" t="s">
        <v>156</v>
      </c>
      <c r="B85" t="s">
        <v>100</v>
      </c>
      <c r="C85" t="str">
        <f>MID(D85,FIND(":",D85)+1,1000)&amp;"2"</f>
        <v>MedImmune2</v>
      </c>
      <c r="D85" s="3" t="s">
        <v>134</v>
      </c>
    </row>
    <row r="86" spans="1:4" x14ac:dyDescent="0.2">
      <c r="A86" s="1" t="s">
        <v>156</v>
      </c>
      <c r="B86" t="s">
        <v>100</v>
      </c>
      <c r="C86" t="s">
        <v>157</v>
      </c>
      <c r="D86" s="3" t="s">
        <v>135</v>
      </c>
    </row>
    <row r="87" spans="1:4" x14ac:dyDescent="0.2">
      <c r="A87" s="1" t="s">
        <v>156</v>
      </c>
      <c r="B87" t="s">
        <v>100</v>
      </c>
      <c r="C87" t="str">
        <f>MID(D87,FIND(":",D87)+1,1000)</f>
        <v>NIH/NIAID/VRC</v>
      </c>
      <c r="D87" s="3" t="s">
        <v>136</v>
      </c>
    </row>
    <row r="88" spans="1:4" x14ac:dyDescent="0.2">
      <c r="A88" s="1" t="s">
        <v>156</v>
      </c>
      <c r="B88" t="s">
        <v>100</v>
      </c>
      <c r="C88" t="str">
        <f>MID(D88,FIND(":",D88)+1,1000)</f>
        <v>NIH/Wyeth Vaccines</v>
      </c>
      <c r="D88" s="3" t="s">
        <v>137</v>
      </c>
    </row>
    <row r="89" spans="1:4" x14ac:dyDescent="0.2">
      <c r="A89" s="1" t="s">
        <v>156</v>
      </c>
      <c r="B89" t="s">
        <v>100</v>
      </c>
      <c r="C89" t="str">
        <f>MID(D89,FIND(":",D89)+1,1000)</f>
        <v>Praxis Biologics</v>
      </c>
      <c r="D89" s="3" t="s">
        <v>138</v>
      </c>
    </row>
    <row r="90" spans="1:4" x14ac:dyDescent="0.2">
      <c r="A90" s="1" t="s">
        <v>156</v>
      </c>
      <c r="B90" t="s">
        <v>100</v>
      </c>
      <c r="C90" t="str">
        <f>MID(D90,FIND(":",D90)+1,1000)&amp;"2"</f>
        <v>Sanofi2</v>
      </c>
      <c r="D90" s="3" t="s">
        <v>139</v>
      </c>
    </row>
    <row r="91" spans="1:4" x14ac:dyDescent="0.2">
      <c r="A91" s="1" t="s">
        <v>156</v>
      </c>
      <c r="B91" t="s">
        <v>97</v>
      </c>
      <c r="C91" t="str">
        <f t="shared" si="1"/>
        <v>Bavarian Nordic</v>
      </c>
      <c r="D91" s="3" t="s">
        <v>151</v>
      </c>
    </row>
    <row r="92" spans="1:4" x14ac:dyDescent="0.2">
      <c r="A92" s="1" t="s">
        <v>156</v>
      </c>
      <c r="B92" t="s">
        <v>97</v>
      </c>
      <c r="C92" t="str">
        <f t="shared" si="1"/>
        <v>Blue Lake Biotechnology Inc</v>
      </c>
      <c r="D92" s="3" t="s">
        <v>152</v>
      </c>
    </row>
    <row r="93" spans="1:4" x14ac:dyDescent="0.2">
      <c r="A93" s="1" t="s">
        <v>156</v>
      </c>
      <c r="B93" t="s">
        <v>97</v>
      </c>
      <c r="C93" t="str">
        <f t="shared" si="1"/>
        <v>GSK</v>
      </c>
      <c r="D93" s="3" t="s">
        <v>153</v>
      </c>
    </row>
    <row r="94" spans="1:4" x14ac:dyDescent="0.2">
      <c r="A94" s="1" t="s">
        <v>156</v>
      </c>
      <c r="B94" t="s">
        <v>97</v>
      </c>
      <c r="C94" t="str">
        <f t="shared" si="1"/>
        <v>Janssen</v>
      </c>
      <c r="D94" s="3" t="s">
        <v>154</v>
      </c>
    </row>
    <row r="95" spans="1:4" x14ac:dyDescent="0.2">
      <c r="A95" s="1" t="s">
        <v>156</v>
      </c>
      <c r="B95" t="s">
        <v>97</v>
      </c>
      <c r="C95" t="s">
        <v>159</v>
      </c>
      <c r="D95" t="s">
        <v>158</v>
      </c>
    </row>
    <row r="96" spans="1:4" x14ac:dyDescent="0.2">
      <c r="A96" s="1" t="s">
        <v>156</v>
      </c>
      <c r="B96" t="s">
        <v>97</v>
      </c>
      <c r="C96" t="str">
        <f>MID(D96,FIND(":",D96)+1,1000)&amp;"2"</f>
        <v>GSK2</v>
      </c>
      <c r="D96" s="3" t="s">
        <v>148</v>
      </c>
    </row>
    <row r="97" spans="1:4" x14ac:dyDescent="0.2">
      <c r="A97" s="1" t="s">
        <v>156</v>
      </c>
      <c r="B97" t="s">
        <v>97</v>
      </c>
      <c r="C97" t="str">
        <f>MID(D97,FIND(":",D97)+1,1000)&amp;"2"</f>
        <v>Janssen2</v>
      </c>
      <c r="D97" s="3" t="s">
        <v>149</v>
      </c>
    </row>
    <row r="98" spans="1:4" x14ac:dyDescent="0.2">
      <c r="A98" s="1" t="s">
        <v>156</v>
      </c>
      <c r="B98" t="s">
        <v>97</v>
      </c>
      <c r="C98" t="s">
        <v>157</v>
      </c>
      <c r="D98" s="3" t="s">
        <v>150</v>
      </c>
    </row>
    <row r="99" spans="1:4" x14ac:dyDescent="0.2">
      <c r="A99" s="1" t="s">
        <v>156</v>
      </c>
      <c r="B99" t="s">
        <v>106</v>
      </c>
      <c r="C99" t="str">
        <f t="shared" si="0"/>
        <v>Moderna</v>
      </c>
      <c r="D99" s="3" t="s">
        <v>129</v>
      </c>
    </row>
    <row r="100" spans="1:4" x14ac:dyDescent="0.2">
      <c r="A100" s="1" t="s">
        <v>156</v>
      </c>
      <c r="B100" t="s">
        <v>106</v>
      </c>
      <c r="C100" t="str">
        <f>MID(D100,FIND(":",D100)+1,1000)</f>
        <v>Merck</v>
      </c>
      <c r="D100" s="3" t="s">
        <v>131</v>
      </c>
    </row>
    <row r="101" spans="1:4" x14ac:dyDescent="0.2">
      <c r="A101" s="1" t="s">
        <v>156</v>
      </c>
      <c r="B101" t="s">
        <v>107</v>
      </c>
      <c r="C101" t="str">
        <f>MID(D101,FIND(":",D101)+1,1000)</f>
        <v>Virometix</v>
      </c>
      <c r="D101" s="3" t="s">
        <v>155</v>
      </c>
    </row>
    <row r="102" spans="1:4" x14ac:dyDescent="0.2">
      <c r="A102" s="1" t="s">
        <v>156</v>
      </c>
      <c r="B102" t="s">
        <v>88</v>
      </c>
      <c r="C102" t="str">
        <f>MID(D102,FIND(":",D102)+1,1000)</f>
        <v>Janssen</v>
      </c>
      <c r="D102" s="3" t="s">
        <v>115</v>
      </c>
    </row>
    <row r="103" spans="1:4" x14ac:dyDescent="0.2">
      <c r="A103" s="1" t="s">
        <v>156</v>
      </c>
      <c r="B103" t="s">
        <v>100</v>
      </c>
      <c r="C103" t="str">
        <f t="shared" ref="C103" si="2">MID(D103,FIND(":",D103)+1,1000)</f>
        <v>Wyeth-Lederle Vaccine and Pediatrics</v>
      </c>
      <c r="D103" s="3" t="s">
        <v>140</v>
      </c>
    </row>
    <row r="104" spans="1:4" x14ac:dyDescent="0.2">
      <c r="A104" s="1" t="s">
        <v>156</v>
      </c>
      <c r="B104" t="s">
        <v>76</v>
      </c>
      <c r="C104" t="s">
        <v>157</v>
      </c>
      <c r="D104" s="3" t="s">
        <v>116</v>
      </c>
    </row>
    <row r="105" spans="1:4" x14ac:dyDescent="0.2">
      <c r="A105" s="1" t="s">
        <v>156</v>
      </c>
      <c r="B105" t="s">
        <v>76</v>
      </c>
      <c r="C105" t="str">
        <f>MID(D105,FIND(":",D105)+1,1000)</f>
        <v>Pfizer</v>
      </c>
      <c r="D105" s="3" t="s">
        <v>117</v>
      </c>
    </row>
    <row r="106" spans="1:4" x14ac:dyDescent="0.2">
      <c r="A106" s="1" t="s">
        <v>156</v>
      </c>
      <c r="B106" t="s">
        <v>157</v>
      </c>
      <c r="C106" t="str">
        <f>MID(D106,FIND(":",D106)+1,1000)</f>
        <v>Intravacc</v>
      </c>
      <c r="D106" s="3" t="s">
        <v>110</v>
      </c>
    </row>
    <row r="107" spans="1:4" x14ac:dyDescent="0.2">
      <c r="A107" s="1" t="s">
        <v>156</v>
      </c>
      <c r="B107" t="s">
        <v>157</v>
      </c>
      <c r="C107" t="str">
        <f>MID(D107,FIND(":",D107)+1,1000)</f>
        <v>Merck</v>
      </c>
      <c r="D107" s="3" t="s">
        <v>111</v>
      </c>
    </row>
    <row r="108" spans="1:4" x14ac:dyDescent="0.2">
      <c r="A108" s="1" t="s">
        <v>156</v>
      </c>
      <c r="B108" t="s">
        <v>157</v>
      </c>
      <c r="C108" t="s">
        <v>157</v>
      </c>
      <c r="D108" s="3" t="s">
        <v>112</v>
      </c>
    </row>
    <row r="109" spans="1:4" x14ac:dyDescent="0.2">
      <c r="A109" s="1" t="s">
        <v>156</v>
      </c>
      <c r="B109" t="s">
        <v>157</v>
      </c>
      <c r="C109" t="str">
        <f>MID(D109,FIND(":",D109)+1,1000)</f>
        <v>NIAID</v>
      </c>
      <c r="D109" s="3" t="s">
        <v>113</v>
      </c>
    </row>
    <row r="110" spans="1:4" x14ac:dyDescent="0.2">
      <c r="A110" s="1" t="s">
        <v>156</v>
      </c>
      <c r="B110" t="s">
        <v>157</v>
      </c>
      <c r="C110" t="str">
        <f>MID(D110,FIND(":",D110)+1,1000)</f>
        <v>NIH/Wyeth Vaccines</v>
      </c>
      <c r="D110" s="3" t="s">
        <v>114</v>
      </c>
    </row>
    <row r="111" spans="1:4" x14ac:dyDescent="0.2">
      <c r="A111" s="1" t="s">
        <v>156</v>
      </c>
      <c r="B111" t="s">
        <v>157</v>
      </c>
      <c r="C111" t="s">
        <v>169</v>
      </c>
      <c r="D111" s="3" t="s">
        <v>130</v>
      </c>
    </row>
    <row r="112" spans="1:4" x14ac:dyDescent="0.2">
      <c r="A112" s="1" t="s">
        <v>164</v>
      </c>
      <c r="B112" t="s">
        <v>165</v>
      </c>
      <c r="D112" s="3" t="s">
        <v>161</v>
      </c>
    </row>
    <row r="113" spans="1:4" x14ac:dyDescent="0.2">
      <c r="A113" s="1" t="s">
        <v>164</v>
      </c>
      <c r="B113" t="s">
        <v>171</v>
      </c>
      <c r="D113" s="3" t="s">
        <v>170</v>
      </c>
    </row>
    <row r="114" spans="1:4" x14ac:dyDescent="0.2">
      <c r="A114" s="1" t="s">
        <v>164</v>
      </c>
      <c r="B114" t="s">
        <v>166</v>
      </c>
      <c r="D114" s="3" t="s">
        <v>160</v>
      </c>
    </row>
    <row r="115" spans="1:4" x14ac:dyDescent="0.2">
      <c r="A115" s="1" t="s">
        <v>164</v>
      </c>
      <c r="B115" t="s">
        <v>172</v>
      </c>
      <c r="D115" s="3" t="s">
        <v>173</v>
      </c>
    </row>
    <row r="116" spans="1:4" x14ac:dyDescent="0.2">
      <c r="A116" s="1" t="s">
        <v>164</v>
      </c>
      <c r="B116" t="s">
        <v>167</v>
      </c>
      <c r="D116" s="3" t="s">
        <v>163</v>
      </c>
    </row>
    <row r="117" spans="1:4" x14ac:dyDescent="0.2">
      <c r="A117" s="1" t="s">
        <v>164</v>
      </c>
      <c r="B117" t="s">
        <v>168</v>
      </c>
      <c r="D117" s="3" t="s">
        <v>162</v>
      </c>
    </row>
    <row r="118" spans="1:4" x14ac:dyDescent="0.2">
      <c r="A118" s="1" t="s">
        <v>174</v>
      </c>
      <c r="B118" t="s">
        <v>175</v>
      </c>
      <c r="D118" s="3" t="s">
        <v>178</v>
      </c>
    </row>
    <row r="119" spans="1:4" x14ac:dyDescent="0.2">
      <c r="A119" s="1" t="s">
        <v>174</v>
      </c>
      <c r="B119" t="s">
        <v>176</v>
      </c>
      <c r="D119" s="3" t="s">
        <v>179</v>
      </c>
    </row>
    <row r="120" spans="1:4" x14ac:dyDescent="0.2">
      <c r="A120" s="1" t="s">
        <v>174</v>
      </c>
      <c r="B120" t="s">
        <v>177</v>
      </c>
      <c r="D120" t="s">
        <v>180</v>
      </c>
    </row>
  </sheetData>
  <autoFilter ref="A1:I54" xr:uid="{1B74C7C1-39D6-4543-AF62-37F03D7DCD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Steffen Docken</dc:creator>
  <cp:lastModifiedBy>Deborah Cromer</cp:lastModifiedBy>
  <dcterms:created xsi:type="dcterms:W3CDTF">2025-01-21T02:38:53Z</dcterms:created>
  <dcterms:modified xsi:type="dcterms:W3CDTF">2025-11-17T03:55:59Z</dcterms:modified>
</cp:coreProperties>
</file>